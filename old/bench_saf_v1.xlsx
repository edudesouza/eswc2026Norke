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_estudos\ipt\"/>
    </mc:Choice>
  </mc:AlternateContent>
  <xr:revisionPtr revIDLastSave="0" documentId="13_ncr:1_{773FAA81-07E8-4A75-BCFC-D575A890EC40}" xr6:coauthVersionLast="47" xr6:coauthVersionMax="47" xr10:uidLastSave="{00000000-0000-0000-0000-000000000000}"/>
  <bookViews>
    <workbookView xWindow="23880" yWindow="-120" windowWidth="24240" windowHeight="13020" xr2:uid="{33BA4109-5C7F-4172-BA9A-60BBB584A192}"/>
  </bookViews>
  <sheets>
    <sheet name="bench_saf_v1" sheetId="1" r:id="rId1"/>
  </sheets>
  <definedNames>
    <definedName name="_xlnm._FilterDatabase" localSheetId="0" hidden="1">bench_saf_v1!$C$5:$I$45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D3" i="1"/>
  <c r="D2" i="1"/>
  <c r="F2" i="1"/>
</calcChain>
</file>

<file path=xl/sharedStrings.xml><?xml version="1.0" encoding="utf-8"?>
<sst xmlns="http://schemas.openxmlformats.org/spreadsheetml/2006/main" count="270" uniqueCount="111">
  <si>
    <t>tipo</t>
  </si>
  <si>
    <t>chave</t>
  </si>
  <si>
    <t>saf_score</t>
  </si>
  <si>
    <t>nli_score</t>
  </si>
  <si>
    <t>sim_score</t>
  </si>
  <si>
    <t>resposta_llm</t>
  </si>
  <si>
    <t>vetor</t>
  </si>
  <si>
    <t>pergunta1</t>
  </si>
  <si>
    <t>0.78</t>
  </si>
  <si>
    <t>1.00</t>
  </si>
  <si>
    <t>0.82</t>
  </si>
  <si>
    <t>Não é permitido estacionar duas motos na mesma vaga, pois a regra estabelece que cada vaga é destinada a um veículo. Trecho-chave: "os CONDÔMINOS poderão fazer uso da vaga... mantendo a regra de um veículo por vaga."</t>
  </si>
  <si>
    <t>pergunta2</t>
  </si>
  <si>
    <t>0.81</t>
  </si>
  <si>
    <t>0.99</t>
  </si>
  <si>
    <t>0.77</t>
  </si>
  <si>
    <t>Sim, você pode estacionar sua moto na vaga do carro, desde que não atrapalhe outros. A regra permite o uso da vaga para motocicletas, respeitando a limitação de um veículo por vaga.</t>
  </si>
  <si>
    <t>pergunta3</t>
  </si>
  <si>
    <t>0.83</t>
  </si>
  <si>
    <t>0.00</t>
  </si>
  <si>
    <t>Sim, você pode realizar a apresentação no salão de festas, desde que respeite a capacidade de 40 pessoas e faça a reserva com antecedência de pelo menos 1 semana. Trecho-chave: "A utilização dos salões de festas... é permitida para eventos de caráter privado... com capacidade de 40 pessoas".</t>
  </si>
  <si>
    <t>pergunta4</t>
  </si>
  <si>
    <t>0.79</t>
  </si>
  <si>
    <t>O pagamento do fundo de obras é obrigatório, pois é destinado a cobrir despesas futuras do condomínio, mesmo que não haja obras atuais. Trecho-chave: "Todos os CONDÔMINOS são obrigados a contribuir para as despesas comuns do CONDOMÍNIO".</t>
  </si>
  <si>
    <t>pergunta5</t>
  </si>
  <si>
    <t>0.74</t>
  </si>
  <si>
    <t>0.88</t>
  </si>
  <si>
    <t>Sim, você pode ir à piscina com seus parentes, desde que esteja presente e respeite a regra de até 2 convidados adultos. "É permitida a utilização da piscina, no limite de 2 (dois) convidados adultos..."</t>
  </si>
  <si>
    <t>pergunta6</t>
  </si>
  <si>
    <t>0.72</t>
  </si>
  <si>
    <t>A mudança deve ser avisada com 48 horas de antecedência e só é permitida uma por dia. O síndico pode aprovar exceções, mas não há regra que garanta isso. Portanto, depende da autorização formal.</t>
  </si>
  <si>
    <t>pergunta7</t>
  </si>
  <si>
    <t>0.54</t>
  </si>
  <si>
    <t>O condomínio não se responsabiliza por entregas sem a presença do condômino. Portanto, se o entregador não puder subir, a entrega não será realizada. Isso pode ser um problema para você.</t>
  </si>
  <si>
    <t>pergunta8</t>
  </si>
  <si>
    <t>0.58</t>
  </si>
  <si>
    <t>Não há regra que permita exceção para entregas de Ifood em caso de dificuldade de locomoção. A proibição se aplica a todos os moradores, independente das circunstâncias. Trecho-chave: "Regulamento é obrigatório para proprietários..."</t>
  </si>
  <si>
    <t>pergunta9</t>
  </si>
  <si>
    <t>0.75</t>
  </si>
  <si>
    <t>Não há informações suficientes sobre a aplicação de sobrepiso sem ART. É importante verificar se há regras específicas no regulamento do condomínio sobre alterações na unidade. Consulte a administração.</t>
  </si>
  <si>
    <t>pergunta10</t>
  </si>
  <si>
    <t>A permissão para usar churrasqueira portátil não está explicitamente abordada no regulamento. Assim, é prudente consultar a administração do condomínio antes de proceder com o churrasco no jardim.</t>
  </si>
  <si>
    <t>pergunta11</t>
  </si>
  <si>
    <t>0.84</t>
  </si>
  <si>
    <t>A locação temporária via AirBnB não é mencionada nas regras do condomínio, portanto, não há proibição explícita. Contudo, é prudente consultar a administração. Trecho-chave: "Regulamento é obrigatório para proprietários".</t>
  </si>
  <si>
    <t>pergunta12</t>
  </si>
  <si>
    <t>O condomínio não é responsável por reembolsar a bicicleta roubada, pois não há regra que garanta essa indenização. O furto é uma ação criminosa e não uma falha do condomínio. Trecho-chave: "Ação criminosa".</t>
  </si>
  <si>
    <t>pergunta13</t>
  </si>
  <si>
    <t>0.42</t>
  </si>
  <si>
    <t>O síndico pode recusar a entrega das imagens, mas a negativa deve ser justificada. Se não houver justificativa, você pode exigir o acesso. Trecho-chave: "Motivo não informado".</t>
  </si>
  <si>
    <t>pergunta14</t>
  </si>
  <si>
    <t>0.86</t>
  </si>
  <si>
    <t>Sim, você pode alugar o salão de festas para a demonstração de produtos, respeitando a regra de reserva com antecedência de uma semana e a capacidade máxima de 40 pessoas. Trecho-chave: "A utilização dos salões de festas... é permitida para eventos de caráter privado... com capacidade de 40 pessoas".</t>
  </si>
  <si>
    <t>pergunta15</t>
  </si>
  <si>
    <t>0.73</t>
  </si>
  <si>
    <t>Sim, você pode alugar o salão para o culto no dia 10. É necessário reservar com antecedência de pelo menos uma semana e informar a quantidade de convidados. Trecho-chave: "Os interessados poderão efetuar a reserva com antecedência de pelo menos 1 (uma) semana antes da data da reunião."</t>
  </si>
  <si>
    <t>pergunta16</t>
  </si>
  <si>
    <t>0.59</t>
  </si>
  <si>
    <t>0.98</t>
  </si>
  <si>
    <t>É proibido fumar dentro do condomínio. Fumar deve ser feito apenas fora do condomínio, o que inclui a área externa próxima à churrasqueira. Portanto, não é permitido fumar durante seu aniversário.</t>
  </si>
  <si>
    <t>pergunta17</t>
  </si>
  <si>
    <t>0.45</t>
  </si>
  <si>
    <t>O síndico pode negar o acesso às imagens, alegando LGPD, mas deve avaliar a situação do roubo. É recomendável solicitar formalmente as imagens para investigação. A negativa pode ser contestada.</t>
  </si>
  <si>
    <t>pergunta18</t>
  </si>
  <si>
    <t>Não há informações suficientes sobre a permissão ou proibição do compartilhamento de dados entre órgãos públicos no contexto apresentado. Portanto, não é possível afirmar a legalidade dessa prática.</t>
  </si>
  <si>
    <t>pergunta19</t>
  </si>
  <si>
    <t>0.60</t>
  </si>
  <si>
    <t>A garagem é destinada à guarda de veículos, e não a móveis. O síndico não pode autorizar a permanência de um sofá, pois isso contraria as normas do condomínio. Trecho-chave: "A garagem destina-se à guarda de veículos".</t>
  </si>
  <si>
    <t>pergunta20</t>
  </si>
  <si>
    <t>0.71</t>
  </si>
  <si>
    <t>Não há regra explícita que obrigue o registro na biometria facial. A recusa pode ser válida, mas é importante verificar o regulamento do condomínio. Trecho-chave: "Regulamento é obrigatório para proprietários".</t>
  </si>
  <si>
    <t>grafo</t>
  </si>
  <si>
    <t>0.95</t>
  </si>
  <si>
    <t>0.91</t>
  </si>
  <si>
    <t>Não é permitido estacionar duas motos na mesma vaga, pois a regra estabelece que "somente será permitido o estacionamento de um veículo automotor por vaga". Portanto, apenas uma moto por vaga é permitida.</t>
  </si>
  <si>
    <t>0.97</t>
  </si>
  <si>
    <t>É permitido estacionar uma moto na vaga de carro, mas deve-se respeitar a regra de um veículo por vaga. Trecho-chave: 'mantém-se a regra de um veículo por vaga'.</t>
  </si>
  <si>
    <t>É necessário realizar a reserva com antecedência mínima de 1 semana, informando a finalidade e quantidade de convidados. Capacidade máxima é de 40 pessoas. Trecho-chave: "Somente será permitida uma reserva por dia por Local".</t>
  </si>
  <si>
    <t>A contribuição para o fundo de obras é obrigatória para custear melhorias futuras no condomínio, mesmo sem obras em andamento. Trecho-chave: "Todos os CONDÔMINOS são obrigados a contribuir para as despesas comuns do CONDOMÍNIO".</t>
  </si>
  <si>
    <t>0.85</t>
  </si>
  <si>
    <t>É permitida a utilização da piscina, com limite de 2 convidados adultos por apartamento, na presença do morador. Portanto, você pode levar seus parentes para a piscina. trecho-chave: "É permitida a utilização da piscina, no limite de 2 (dois) convidados adultos com respectivos filhos por apartamento, na presença do CONDÔMINO."</t>
  </si>
  <si>
    <t>0.56</t>
  </si>
  <si>
    <t>Mudanças são proibidas aos domingos e feriados, conforme a regra: "Artigo 42º - As mudanças somente poderão ser realizadas de segunda a sexta-feira...". A exceção não é permitida.</t>
  </si>
  <si>
    <t>O condomínio pode restringir a entrada de entregadores, conforme a regra. Contudo, sua situação deve ser considerada. Sugiro comunicar a administração para evitar problemas futuros. Trecho-chave: "Não será permitida a entrada:..."</t>
  </si>
  <si>
    <t>A regra não permite exceções para entregas de supermercados. Elas devem entrar pela garagem com a presença do condômino, que deve transportá-las diretamente ao apartamento. Trecho-chave: "Entregas de supermercados podem entrar pela garagem, sempre com a presença do CONDÔMINO."</t>
  </si>
  <si>
    <t>A aplicação de sobrepiso pode ser realizada, mas é essencial notificar o síndico e permitir vistoria, conforme a NBR 16280:2014. A responsabilidade por danos é do condômino. Trecho-chave: "permitir a vistoria do apartamento".</t>
  </si>
  <si>
    <t>O regulamento não proíbe o uso de churrasqueira portátil em áreas comuns. Contudo, é importante verificar se há restrições quanto ao local escolhido. Trecho-chave: "não proíbe uso de portátil".</t>
  </si>
  <si>
    <t>A convenção não menciona restrições ao aluguel temporário. Contudo, é prudente consultar o síndico para evitar problemas. Trecho-chave: "Artigo 158º - O CONDÔMINO que não cumpre reiteradamente..."</t>
  </si>
  <si>
    <t>0.87</t>
  </si>
  <si>
    <t>O condomínio não é responsável pelo furto da sua bicicleta, pois a regra afirma que o CONDOMÍNIO não será responsabilizado por danos ou furto das bicicletas. Trecho-chave: "O CONDOMÍNIO não será responsabilizado por eventuais danos ou furto das bicicletas ou partes."</t>
  </si>
  <si>
    <t>0.80</t>
  </si>
  <si>
    <t>A recusa do síndico em fornecer as imagens pode ser contestada, pois o condômino deve comunicar o furto à administração. O acesso às imagens é essencial para investigar o ocorrido.</t>
  </si>
  <si>
    <t>0.46</t>
  </si>
  <si>
    <t>A utilização do salão de festas para demonstração de produtos é proibida, pois não é permitido eventos comerciais. Trecho-chave: "É proibida a utilização de qualquer espaço das áreas comuns do condomínio para eventos..."</t>
  </si>
  <si>
    <t>0.90</t>
  </si>
  <si>
    <t>A reserva para eventos religiosos é proibida, conforme a regra: "É proibida a utilização de qualquer espaço das áreas comuns do condomínio para eventos ou entrevistas comerciais, religiosos..."</t>
  </si>
  <si>
    <t>0.66</t>
  </si>
  <si>
    <t>A proibição de fumar se aplica a todas as áreas comuns do condomínio, incluindo a área externa perto da churrasqueira, conforme as regras internas. Isso visa garantir a saúde e segurança de todos.</t>
  </si>
  <si>
    <t>A negativa do síndico pode ser contestada, pois a LGPD não impede a entrega de imagens em casos de segurança. Solicite formalmente as imagens, destacando a situação do roubo.</t>
  </si>
  <si>
    <t>Não há informações suficientes sobre a permissão para compartilhamento de dados entre órgãos públicos no contexto fornecido. Nenhuma regra específica aborda essa questão.</t>
  </si>
  <si>
    <t>A permissão do síndico é essencial, pois é proibido depositar objetos nas áreas comuns sem autorização. O sofá na garagem pode ser considerado infração, mesmo com a autorização verbal.</t>
  </si>
  <si>
    <t>A recusa ao registro em biometria facial não possui respaldo legal claro nas regras apresentadas. Contudo, a imposição de penalidades para descumprimento de normas é mencionada. Portanto, a obrigatoriedade não é explícita.</t>
  </si>
  <si>
    <t>score</t>
  </si>
  <si>
    <t>GRAFO</t>
  </si>
  <si>
    <t>VETOR</t>
  </si>
  <si>
    <t>FP/FN</t>
  </si>
  <si>
    <t>FP/FN GF</t>
  </si>
  <si>
    <t>FP/FN VT</t>
  </si>
  <si>
    <t>V/F</t>
  </si>
  <si>
    <t>V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</si>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</sst>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16" fillId="0" borderId="0" xfId="0" applyFont="1" applyAlignment="1">
      <alignment horizontal="center"/>
    </xf>
    <xf numFmtId="0" fontId="16" fillId="35" borderId="0" xfId="0" applyFont="1" applyFill="1"/>
    <xf numFmtId="0" fontId="16" fillId="35" borderId="0" xfId="0" applyFont="1" applyFill="1" applyAlignment="1">
      <alignment horizontal="center"/>
    </xf>
    <xf numFmtId="0" fontId="16" fillId="36" borderId="0" xfId="0" applyFont="1" applyFill="1"/>
    <xf numFmtId="0" fontId="16" fillId="36" borderId="0" xfId="0" applyFont="1" applyFill="1" applyAlignment="1">
      <alignment horizontal="center"/>
    </xf>
    <xf numFmtId="0" fontId="16" fillId="37" borderId="0" xfId="0" applyFont="1" applyFill="1"/>
    <xf numFmtId="0" fontId="16" fillId="37" borderId="0" xfId="0" applyFont="1" applyFill="1" applyAlignment="1">
      <alignment horizontal="center"/>
    </xf>
    <xf numFmtId="0" fontId="0" fillId="38" borderId="0" xfId="0" applyFill="1" applyAlignment="1">
      <alignment horizontal="center"/>
    </xf>
    <xf numFmtId="0" fontId="18" fillId="38" borderId="0" xfId="0" applyFont="1" applyFill="1"/>
    <xf numFmtId="0" fontId="18" fillId="38" borderId="0" xfId="0" applyFont="1" applyFill="1" applyAlignment="1">
      <alignment horizontal="center"/>
    </xf>
    <xf numFmtId="0" fontId="0" fillId="38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39DA2-9808-444D-BAD7-3701D69CEF1A}">
  <dimension ref="A2:I45"/>
  <sheetViews>
    <sheetView tabSelected="1" workbookViewId="0">
      <selection activeCell="A8" sqref="A8:XFD8"/>
    </sheetView>
  </sheetViews>
  <sheetFormatPr defaultRowHeight="15" x14ac:dyDescent="0.25"/>
  <cols>
    <col min="1" max="2" width="6.28515625" style="3" customWidth="1"/>
    <col min="4" max="4" width="15.7109375" customWidth="1"/>
    <col min="5" max="5" width="15" style="3" customWidth="1"/>
    <col min="6" max="6" width="15.85546875" style="3" customWidth="1"/>
    <col min="7" max="8" width="13.42578125" style="3" customWidth="1"/>
    <col min="9" max="9" width="255.5703125" customWidth="1"/>
  </cols>
  <sheetData>
    <row r="2" spans="1:9" x14ac:dyDescent="0.25">
      <c r="C2" s="6" t="s">
        <v>103</v>
      </c>
      <c r="D2" s="6">
        <f>SUMIF(C6:C101,"grafo",A6:A101)</f>
        <v>8</v>
      </c>
      <c r="E2" s="6" t="s">
        <v>104</v>
      </c>
      <c r="F2" s="6">
        <f>SUMIF(C6:C101,"vetor",A6:A101)</f>
        <v>3</v>
      </c>
    </row>
    <row r="3" spans="1:9" x14ac:dyDescent="0.25">
      <c r="C3" s="6" t="s">
        <v>106</v>
      </c>
      <c r="D3" s="6">
        <f>SUMIF(C5:C100,"grafo",B5:B100)</f>
        <v>5</v>
      </c>
      <c r="E3" s="6" t="s">
        <v>107</v>
      </c>
      <c r="F3" s="6">
        <f>SUMIF(C5:C100,"vetor",B5:B100)</f>
        <v>9</v>
      </c>
    </row>
    <row r="5" spans="1:9" x14ac:dyDescent="0.25">
      <c r="A5" s="6" t="s">
        <v>102</v>
      </c>
      <c r="B5" s="6" t="s">
        <v>105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6" t="s">
        <v>108</v>
      </c>
      <c r="I5" s="6" t="s">
        <v>5</v>
      </c>
    </row>
    <row r="6" spans="1:9" s="2" customFormat="1" ht="15.75" customHeight="1" x14ac:dyDescent="0.25">
      <c r="A6" s="4">
        <v>1</v>
      </c>
      <c r="B6" s="4"/>
      <c r="C6" s="2" t="s">
        <v>6</v>
      </c>
      <c r="D6" s="2" t="s">
        <v>7</v>
      </c>
      <c r="E6" s="4" t="s">
        <v>8</v>
      </c>
      <c r="F6" s="4" t="s">
        <v>9</v>
      </c>
      <c r="G6" s="4" t="s">
        <v>10</v>
      </c>
      <c r="H6" s="4" t="s">
        <v>109</v>
      </c>
      <c r="I6" s="2" t="s">
        <v>11</v>
      </c>
    </row>
    <row r="7" spans="1:9" s="1" customFormat="1" x14ac:dyDescent="0.25">
      <c r="A7" s="5">
        <v>1</v>
      </c>
      <c r="B7" s="5"/>
      <c r="C7" s="1" t="s">
        <v>71</v>
      </c>
      <c r="D7" s="1" t="s">
        <v>7</v>
      </c>
      <c r="E7" s="5" t="s">
        <v>72</v>
      </c>
      <c r="F7" s="5" t="s">
        <v>9</v>
      </c>
      <c r="G7" s="5" t="s">
        <v>73</v>
      </c>
      <c r="H7" s="5" t="s">
        <v>109</v>
      </c>
      <c r="I7" s="1" t="s">
        <v>74</v>
      </c>
    </row>
    <row r="8" spans="1:9" x14ac:dyDescent="0.25">
      <c r="B8" s="3">
        <v>1</v>
      </c>
      <c r="C8" s="9" t="s">
        <v>6</v>
      </c>
      <c r="D8" s="9" t="s">
        <v>40</v>
      </c>
      <c r="E8" s="10" t="s">
        <v>8</v>
      </c>
      <c r="F8" s="3" t="s">
        <v>19</v>
      </c>
      <c r="G8" s="3" t="s">
        <v>19</v>
      </c>
      <c r="I8" t="s">
        <v>41</v>
      </c>
    </row>
    <row r="9" spans="1:9" x14ac:dyDescent="0.25">
      <c r="C9" t="s">
        <v>71</v>
      </c>
      <c r="D9" t="s">
        <v>40</v>
      </c>
      <c r="E9" s="3" t="s">
        <v>32</v>
      </c>
      <c r="F9" s="3" t="s">
        <v>19</v>
      </c>
      <c r="G9" s="3" t="s">
        <v>19</v>
      </c>
      <c r="I9" t="s">
        <v>86</v>
      </c>
    </row>
    <row r="10" spans="1:9" x14ac:dyDescent="0.25">
      <c r="B10" s="3">
        <v>1</v>
      </c>
      <c r="C10" s="9" t="s">
        <v>6</v>
      </c>
      <c r="D10" s="9" t="s">
        <v>42</v>
      </c>
      <c r="E10" s="10" t="s">
        <v>43</v>
      </c>
      <c r="F10" s="3" t="s">
        <v>19</v>
      </c>
      <c r="G10" s="3" t="s">
        <v>19</v>
      </c>
      <c r="I10" t="s">
        <v>44</v>
      </c>
    </row>
    <row r="11" spans="1:9" x14ac:dyDescent="0.25">
      <c r="C11" t="s">
        <v>71</v>
      </c>
      <c r="D11" t="s">
        <v>42</v>
      </c>
      <c r="E11" s="3" t="s">
        <v>81</v>
      </c>
      <c r="F11" s="3" t="s">
        <v>19</v>
      </c>
      <c r="G11" s="3" t="s">
        <v>19</v>
      </c>
      <c r="I11" t="s">
        <v>87</v>
      </c>
    </row>
    <row r="12" spans="1:9" s="16" customFormat="1" x14ac:dyDescent="0.25">
      <c r="A12" s="13"/>
      <c r="B12" s="13">
        <v>1</v>
      </c>
      <c r="C12" s="14" t="s">
        <v>6</v>
      </c>
      <c r="D12" s="14" t="s">
        <v>45</v>
      </c>
      <c r="E12" s="15" t="s">
        <v>32</v>
      </c>
      <c r="F12" s="13" t="s">
        <v>15</v>
      </c>
      <c r="G12" s="13" t="s">
        <v>10</v>
      </c>
      <c r="H12" s="13" t="s">
        <v>109</v>
      </c>
      <c r="I12" s="16" t="s">
        <v>46</v>
      </c>
    </row>
    <row r="13" spans="1:9" s="1" customFormat="1" x14ac:dyDescent="0.25">
      <c r="A13" s="5">
        <v>1</v>
      </c>
      <c r="B13" s="5"/>
      <c r="C13" s="1" t="s">
        <v>71</v>
      </c>
      <c r="D13" s="1" t="s">
        <v>45</v>
      </c>
      <c r="E13" s="5" t="s">
        <v>79</v>
      </c>
      <c r="F13" s="5" t="s">
        <v>14</v>
      </c>
      <c r="G13" s="5" t="s">
        <v>88</v>
      </c>
      <c r="H13" s="5" t="s">
        <v>109</v>
      </c>
      <c r="I13" s="1" t="s">
        <v>89</v>
      </c>
    </row>
    <row r="14" spans="1:9" x14ac:dyDescent="0.25">
      <c r="C14" t="s">
        <v>6</v>
      </c>
      <c r="D14" t="s">
        <v>47</v>
      </c>
      <c r="E14" s="3" t="s">
        <v>48</v>
      </c>
      <c r="F14" s="3" t="s">
        <v>19</v>
      </c>
      <c r="G14" s="3" t="s">
        <v>19</v>
      </c>
      <c r="I14" t="s">
        <v>49</v>
      </c>
    </row>
    <row r="15" spans="1:9" s="16" customFormat="1" x14ac:dyDescent="0.25">
      <c r="A15" s="13"/>
      <c r="B15" s="13">
        <v>1</v>
      </c>
      <c r="C15" s="14" t="s">
        <v>71</v>
      </c>
      <c r="D15" s="14" t="s">
        <v>47</v>
      </c>
      <c r="E15" s="15" t="s">
        <v>57</v>
      </c>
      <c r="F15" s="13" t="s">
        <v>18</v>
      </c>
      <c r="G15" s="13" t="s">
        <v>90</v>
      </c>
      <c r="H15" s="13" t="s">
        <v>110</v>
      </c>
      <c r="I15" s="16" t="s">
        <v>91</v>
      </c>
    </row>
    <row r="16" spans="1:9" x14ac:dyDescent="0.25">
      <c r="B16" s="3">
        <v>1</v>
      </c>
      <c r="C16" s="9" t="s">
        <v>6</v>
      </c>
      <c r="D16" s="9" t="s">
        <v>50</v>
      </c>
      <c r="E16" s="10" t="s">
        <v>51</v>
      </c>
      <c r="F16" s="3" t="s">
        <v>19</v>
      </c>
      <c r="G16" s="3" t="s">
        <v>19</v>
      </c>
      <c r="I16" t="s">
        <v>52</v>
      </c>
    </row>
    <row r="17" spans="1:9" s="16" customFormat="1" x14ac:dyDescent="0.25">
      <c r="A17" s="13"/>
      <c r="B17" s="13">
        <v>1</v>
      </c>
      <c r="C17" s="14" t="s">
        <v>71</v>
      </c>
      <c r="D17" s="14" t="s">
        <v>50</v>
      </c>
      <c r="E17" s="15" t="s">
        <v>92</v>
      </c>
      <c r="F17" s="13" t="s">
        <v>9</v>
      </c>
      <c r="G17" s="13" t="s">
        <v>72</v>
      </c>
      <c r="H17" s="13" t="s">
        <v>109</v>
      </c>
      <c r="I17" s="16" t="s">
        <v>93</v>
      </c>
    </row>
    <row r="18" spans="1:9" x14ac:dyDescent="0.25">
      <c r="C18" t="s">
        <v>6</v>
      </c>
      <c r="D18" t="s">
        <v>53</v>
      </c>
      <c r="E18" s="3" t="s">
        <v>54</v>
      </c>
      <c r="F18" s="3" t="s">
        <v>19</v>
      </c>
      <c r="G18" s="3" t="s">
        <v>19</v>
      </c>
      <c r="I18" t="s">
        <v>55</v>
      </c>
    </row>
    <row r="19" spans="1:9" s="1" customFormat="1" x14ac:dyDescent="0.25">
      <c r="A19" s="5">
        <v>1</v>
      </c>
      <c r="B19" s="5"/>
      <c r="C19" s="1" t="s">
        <v>71</v>
      </c>
      <c r="D19" s="1" t="s">
        <v>53</v>
      </c>
      <c r="E19" s="5" t="s">
        <v>75</v>
      </c>
      <c r="F19" s="5" t="s">
        <v>9</v>
      </c>
      <c r="G19" s="5" t="s">
        <v>94</v>
      </c>
      <c r="H19" s="5" t="s">
        <v>109</v>
      </c>
      <c r="I19" s="1" t="s">
        <v>95</v>
      </c>
    </row>
    <row r="20" spans="1:9" s="16" customFormat="1" x14ac:dyDescent="0.25">
      <c r="A20" s="13"/>
      <c r="B20" s="13">
        <v>1</v>
      </c>
      <c r="C20" s="14" t="s">
        <v>6</v>
      </c>
      <c r="D20" s="14" t="s">
        <v>56</v>
      </c>
      <c r="E20" s="15" t="s">
        <v>57</v>
      </c>
      <c r="F20" s="13" t="s">
        <v>58</v>
      </c>
      <c r="G20" s="13" t="s">
        <v>26</v>
      </c>
      <c r="H20" s="13" t="s">
        <v>109</v>
      </c>
      <c r="I20" s="16" t="s">
        <v>59</v>
      </c>
    </row>
    <row r="21" spans="1:9" x14ac:dyDescent="0.25">
      <c r="C21" t="s">
        <v>71</v>
      </c>
      <c r="D21" t="s">
        <v>56</v>
      </c>
      <c r="E21" s="3" t="s">
        <v>96</v>
      </c>
      <c r="F21" s="3" t="s">
        <v>19</v>
      </c>
      <c r="G21" s="3" t="s">
        <v>19</v>
      </c>
      <c r="I21" t="s">
        <v>97</v>
      </c>
    </row>
    <row r="22" spans="1:9" x14ac:dyDescent="0.25">
      <c r="C22" t="s">
        <v>6</v>
      </c>
      <c r="D22" t="s">
        <v>60</v>
      </c>
      <c r="E22" s="3" t="s">
        <v>61</v>
      </c>
      <c r="F22" s="3" t="s">
        <v>19</v>
      </c>
      <c r="G22" s="3" t="s">
        <v>19</v>
      </c>
      <c r="I22" t="s">
        <v>62</v>
      </c>
    </row>
    <row r="23" spans="1:9" x14ac:dyDescent="0.25">
      <c r="C23" t="s">
        <v>71</v>
      </c>
      <c r="D23" t="s">
        <v>60</v>
      </c>
      <c r="E23" s="3" t="s">
        <v>61</v>
      </c>
      <c r="F23" s="3" t="s">
        <v>19</v>
      </c>
      <c r="G23" s="3" t="s">
        <v>19</v>
      </c>
      <c r="I23" t="s">
        <v>98</v>
      </c>
    </row>
    <row r="24" spans="1:9" x14ac:dyDescent="0.25">
      <c r="C24" t="s">
        <v>6</v>
      </c>
      <c r="D24" t="s">
        <v>63</v>
      </c>
      <c r="E24" s="3" t="s">
        <v>29</v>
      </c>
      <c r="F24" s="3" t="s">
        <v>19</v>
      </c>
      <c r="G24" s="3" t="s">
        <v>19</v>
      </c>
      <c r="I24" t="s">
        <v>64</v>
      </c>
    </row>
    <row r="25" spans="1:9" x14ac:dyDescent="0.25">
      <c r="C25" t="s">
        <v>71</v>
      </c>
      <c r="D25" t="s">
        <v>63</v>
      </c>
      <c r="E25" s="3" t="s">
        <v>69</v>
      </c>
      <c r="F25" s="3" t="s">
        <v>19</v>
      </c>
      <c r="G25" s="3" t="s">
        <v>19</v>
      </c>
      <c r="I25" t="s">
        <v>99</v>
      </c>
    </row>
    <row r="26" spans="1:9" x14ac:dyDescent="0.25">
      <c r="C26" t="s">
        <v>6</v>
      </c>
      <c r="D26" t="s">
        <v>65</v>
      </c>
      <c r="E26" s="3" t="s">
        <v>66</v>
      </c>
      <c r="F26" s="3" t="s">
        <v>19</v>
      </c>
      <c r="G26" s="3" t="s">
        <v>19</v>
      </c>
      <c r="I26" t="s">
        <v>67</v>
      </c>
    </row>
    <row r="27" spans="1:9" s="1" customFormat="1" x14ac:dyDescent="0.25">
      <c r="A27" s="5">
        <v>1</v>
      </c>
      <c r="B27" s="5"/>
      <c r="C27" s="1" t="s">
        <v>71</v>
      </c>
      <c r="D27" s="1" t="s">
        <v>65</v>
      </c>
      <c r="E27" s="5" t="s">
        <v>43</v>
      </c>
      <c r="F27" s="5" t="s">
        <v>9</v>
      </c>
      <c r="G27" s="5" t="s">
        <v>22</v>
      </c>
      <c r="H27" s="5" t="s">
        <v>109</v>
      </c>
      <c r="I27" s="1" t="s">
        <v>100</v>
      </c>
    </row>
    <row r="28" spans="1:9" s="2" customFormat="1" x14ac:dyDescent="0.25">
      <c r="A28" s="4">
        <v>1</v>
      </c>
      <c r="B28" s="4"/>
      <c r="C28" s="2" t="s">
        <v>6</v>
      </c>
      <c r="D28" s="2" t="s">
        <v>12</v>
      </c>
      <c r="E28" s="4" t="s">
        <v>13</v>
      </c>
      <c r="F28" s="4" t="s">
        <v>14</v>
      </c>
      <c r="G28" s="4" t="s">
        <v>15</v>
      </c>
      <c r="H28" s="4" t="s">
        <v>109</v>
      </c>
      <c r="I28" s="2" t="s">
        <v>16</v>
      </c>
    </row>
    <row r="29" spans="1:9" s="1" customFormat="1" x14ac:dyDescent="0.25">
      <c r="A29" s="5">
        <v>1</v>
      </c>
      <c r="B29" s="5"/>
      <c r="C29" s="1" t="s">
        <v>71</v>
      </c>
      <c r="D29" s="1" t="s">
        <v>12</v>
      </c>
      <c r="E29" s="5" t="s">
        <v>75</v>
      </c>
      <c r="F29" s="5" t="s">
        <v>14</v>
      </c>
      <c r="G29" s="5" t="s">
        <v>18</v>
      </c>
      <c r="H29" s="5" t="s">
        <v>109</v>
      </c>
      <c r="I29" s="1" t="s">
        <v>76</v>
      </c>
    </row>
    <row r="30" spans="1:9" x14ac:dyDescent="0.25">
      <c r="C30" t="s">
        <v>6</v>
      </c>
      <c r="D30" t="s">
        <v>68</v>
      </c>
      <c r="E30" s="3" t="s">
        <v>69</v>
      </c>
      <c r="F30" s="3" t="s">
        <v>19</v>
      </c>
      <c r="G30" s="3" t="s">
        <v>19</v>
      </c>
      <c r="I30" t="s">
        <v>70</v>
      </c>
    </row>
    <row r="31" spans="1:9" s="1" customFormat="1" x14ac:dyDescent="0.25">
      <c r="A31" s="5">
        <v>1</v>
      </c>
      <c r="B31" s="5"/>
      <c r="C31" s="1" t="s">
        <v>71</v>
      </c>
      <c r="D31" s="1" t="s">
        <v>68</v>
      </c>
      <c r="E31" s="5" t="s">
        <v>13</v>
      </c>
      <c r="F31" s="5" t="s">
        <v>51</v>
      </c>
      <c r="G31" s="5" t="s">
        <v>26</v>
      </c>
      <c r="H31" s="5" t="s">
        <v>109</v>
      </c>
      <c r="I31" s="1" t="s">
        <v>101</v>
      </c>
    </row>
    <row r="32" spans="1:9" x14ac:dyDescent="0.25">
      <c r="B32" s="3">
        <v>1</v>
      </c>
      <c r="C32" s="7" t="s">
        <v>6</v>
      </c>
      <c r="D32" s="7" t="s">
        <v>17</v>
      </c>
      <c r="E32" s="8" t="s">
        <v>18</v>
      </c>
      <c r="F32" s="3" t="s">
        <v>19</v>
      </c>
      <c r="G32" s="3" t="s">
        <v>19</v>
      </c>
      <c r="I32" t="s">
        <v>20</v>
      </c>
    </row>
    <row r="33" spans="1:9" x14ac:dyDescent="0.25">
      <c r="B33" s="3">
        <v>1</v>
      </c>
      <c r="C33" s="11" t="s">
        <v>71</v>
      </c>
      <c r="D33" s="11" t="s">
        <v>17</v>
      </c>
      <c r="E33" s="12" t="s">
        <v>9</v>
      </c>
      <c r="F33" s="3" t="s">
        <v>19</v>
      </c>
      <c r="G33" s="3" t="s">
        <v>19</v>
      </c>
      <c r="I33" t="s">
        <v>77</v>
      </c>
    </row>
    <row r="34" spans="1:9" x14ac:dyDescent="0.25">
      <c r="B34" s="3">
        <v>1</v>
      </c>
      <c r="C34" s="9" t="s">
        <v>6</v>
      </c>
      <c r="D34" s="9" t="s">
        <v>21</v>
      </c>
      <c r="E34" s="10" t="s">
        <v>22</v>
      </c>
      <c r="F34" s="3" t="s">
        <v>19</v>
      </c>
      <c r="G34" s="3" t="s">
        <v>19</v>
      </c>
      <c r="I34" t="s">
        <v>23</v>
      </c>
    </row>
    <row r="35" spans="1:9" x14ac:dyDescent="0.25">
      <c r="B35" s="3">
        <v>1</v>
      </c>
      <c r="C35" s="11" t="s">
        <v>71</v>
      </c>
      <c r="D35" s="11" t="s">
        <v>21</v>
      </c>
      <c r="E35" s="12" t="s">
        <v>18</v>
      </c>
      <c r="F35" s="3" t="s">
        <v>19</v>
      </c>
      <c r="G35" s="3" t="s">
        <v>19</v>
      </c>
      <c r="I35" t="s">
        <v>78</v>
      </c>
    </row>
    <row r="36" spans="1:9" s="2" customFormat="1" x14ac:dyDescent="0.25">
      <c r="A36" s="4">
        <v>1</v>
      </c>
      <c r="B36" s="4"/>
      <c r="C36" s="2" t="s">
        <v>6</v>
      </c>
      <c r="D36" s="2" t="s">
        <v>24</v>
      </c>
      <c r="E36" s="4" t="s">
        <v>25</v>
      </c>
      <c r="F36" s="4" t="s">
        <v>9</v>
      </c>
      <c r="G36" s="4" t="s">
        <v>26</v>
      </c>
      <c r="H36" s="4" t="s">
        <v>109</v>
      </c>
      <c r="I36" s="2" t="s">
        <v>27</v>
      </c>
    </row>
    <row r="37" spans="1:9" s="1" customFormat="1" x14ac:dyDescent="0.25">
      <c r="A37" s="5">
        <v>1</v>
      </c>
      <c r="B37" s="5"/>
      <c r="C37" s="1" t="s">
        <v>71</v>
      </c>
      <c r="D37" s="1" t="s">
        <v>24</v>
      </c>
      <c r="E37" s="5" t="s">
        <v>8</v>
      </c>
      <c r="F37" s="5" t="s">
        <v>14</v>
      </c>
      <c r="G37" s="5" t="s">
        <v>79</v>
      </c>
      <c r="H37" s="5" t="s">
        <v>109</v>
      </c>
      <c r="I37" s="1" t="s">
        <v>80</v>
      </c>
    </row>
    <row r="38" spans="1:9" x14ac:dyDescent="0.25">
      <c r="C38" t="s">
        <v>6</v>
      </c>
      <c r="D38" t="s">
        <v>28</v>
      </c>
      <c r="E38" s="3" t="s">
        <v>29</v>
      </c>
      <c r="F38" s="3" t="s">
        <v>19</v>
      </c>
      <c r="G38" s="3" t="s">
        <v>19</v>
      </c>
      <c r="I38" t="s">
        <v>30</v>
      </c>
    </row>
    <row r="39" spans="1:9" s="16" customFormat="1" x14ac:dyDescent="0.25">
      <c r="A39" s="13"/>
      <c r="B39" s="13">
        <v>1</v>
      </c>
      <c r="C39" s="14" t="s">
        <v>71</v>
      </c>
      <c r="D39" s="14" t="s">
        <v>28</v>
      </c>
      <c r="E39" s="15" t="s">
        <v>81</v>
      </c>
      <c r="F39" s="13" t="s">
        <v>14</v>
      </c>
      <c r="G39" s="13" t="s">
        <v>79</v>
      </c>
      <c r="H39" s="13" t="s">
        <v>110</v>
      </c>
      <c r="I39" s="16" t="s">
        <v>82</v>
      </c>
    </row>
    <row r="40" spans="1:9" x14ac:dyDescent="0.25">
      <c r="C40" t="s">
        <v>6</v>
      </c>
      <c r="D40" t="s">
        <v>31</v>
      </c>
      <c r="E40" s="3" t="s">
        <v>32</v>
      </c>
      <c r="F40" s="3" t="s">
        <v>19</v>
      </c>
      <c r="G40" s="3" t="s">
        <v>19</v>
      </c>
      <c r="I40" t="s">
        <v>33</v>
      </c>
    </row>
    <row r="41" spans="1:9" x14ac:dyDescent="0.25">
      <c r="C41" t="s">
        <v>71</v>
      </c>
      <c r="D41" t="s">
        <v>31</v>
      </c>
      <c r="E41" s="3" t="s">
        <v>69</v>
      </c>
      <c r="F41" s="3" t="s">
        <v>19</v>
      </c>
      <c r="G41" s="3" t="s">
        <v>19</v>
      </c>
      <c r="I41" t="s">
        <v>83</v>
      </c>
    </row>
    <row r="42" spans="1:9" s="16" customFormat="1" x14ac:dyDescent="0.25">
      <c r="A42" s="13"/>
      <c r="B42" s="13">
        <v>1</v>
      </c>
      <c r="C42" s="14" t="s">
        <v>6</v>
      </c>
      <c r="D42" s="14" t="s">
        <v>34</v>
      </c>
      <c r="E42" s="15" t="s">
        <v>35</v>
      </c>
      <c r="F42" s="13" t="s">
        <v>14</v>
      </c>
      <c r="G42" s="13" t="s">
        <v>8</v>
      </c>
      <c r="H42" s="13" t="s">
        <v>110</v>
      </c>
      <c r="I42" s="16" t="s">
        <v>36</v>
      </c>
    </row>
    <row r="43" spans="1:9" s="1" customFormat="1" x14ac:dyDescent="0.25">
      <c r="A43" s="5">
        <v>1</v>
      </c>
      <c r="B43" s="5"/>
      <c r="C43" s="1" t="s">
        <v>71</v>
      </c>
      <c r="D43" s="1" t="s">
        <v>34</v>
      </c>
      <c r="E43" s="5" t="s">
        <v>14</v>
      </c>
      <c r="F43" s="5" t="s">
        <v>58</v>
      </c>
      <c r="G43" s="5" t="s">
        <v>10</v>
      </c>
      <c r="H43" s="5" t="s">
        <v>109</v>
      </c>
      <c r="I43" s="1" t="s">
        <v>84</v>
      </c>
    </row>
    <row r="44" spans="1:9" x14ac:dyDescent="0.25">
      <c r="B44" s="3">
        <v>1</v>
      </c>
      <c r="C44" s="9" t="s">
        <v>6</v>
      </c>
      <c r="D44" s="9" t="s">
        <v>37</v>
      </c>
      <c r="E44" s="10" t="s">
        <v>38</v>
      </c>
      <c r="F44" s="3" t="s">
        <v>19</v>
      </c>
      <c r="G44" s="3" t="s">
        <v>19</v>
      </c>
      <c r="I44" t="s">
        <v>39</v>
      </c>
    </row>
    <row r="45" spans="1:9" x14ac:dyDescent="0.25">
      <c r="C45" t="s">
        <v>71</v>
      </c>
      <c r="D45" t="s">
        <v>37</v>
      </c>
      <c r="E45" s="3" t="s">
        <v>35</v>
      </c>
      <c r="F45" s="3" t="s">
        <v>19</v>
      </c>
      <c r="G45" s="3" t="s">
        <v>19</v>
      </c>
      <c r="I45" t="s">
        <v>85</v>
      </c>
    </row>
  </sheetData>
  <autoFilter ref="C5:I45" xr:uid="{3E839DA2-9808-444D-BAD7-3701D69CEF1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bench_saf_v1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de souza</cp:lastModifiedBy>
  <dcterms:created xsi:type="dcterms:W3CDTF">2025-12-02T18:05:58Z</dcterms:created>
  <dcterms:modified xsi:type="dcterms:W3CDTF">2025-12-04T08:16:22Z</dcterms:modified>
</cp:coreProperties>
</file>